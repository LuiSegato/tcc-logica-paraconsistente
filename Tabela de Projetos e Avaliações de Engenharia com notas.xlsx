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zs\Desktop\"/>
    </mc:Choice>
  </mc:AlternateContent>
  <xr:revisionPtr revIDLastSave="0" documentId="8_{76D063B3-FD41-4263-A6E1-915398E098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a de Projetos e Avaliações" sheetId="1" r:id="rId1"/>
  </sheets>
  <definedNames>
    <definedName name="_xlnm._FilterDatabase" localSheetId="0" hidden="1">'Tabela de Projetos e Avaliações'!$A$1:$O$23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" i="1"/>
</calcChain>
</file>

<file path=xl/sharedStrings.xml><?xml version="1.0" encoding="utf-8"?>
<sst xmlns="http://schemas.openxmlformats.org/spreadsheetml/2006/main" count="169" uniqueCount="117">
  <si>
    <t>ID do Projeto</t>
  </si>
  <si>
    <t>Cidade</t>
  </si>
  <si>
    <t>Escopo do Serviço</t>
  </si>
  <si>
    <t>Tipo de Obra</t>
  </si>
  <si>
    <t>Valor do Contrato Atual</t>
  </si>
  <si>
    <t>Avanço Financeiro (%)</t>
  </si>
  <si>
    <t>Status</t>
  </si>
  <si>
    <t>4000018209-2061-1</t>
  </si>
  <si>
    <t>Santos</t>
  </si>
  <si>
    <t>Edificação da Filial escolar</t>
  </si>
  <si>
    <t>06 - Construção da Unidade</t>
  </si>
  <si>
    <t>Em andamento</t>
  </si>
  <si>
    <t>Atrasada</t>
  </si>
  <si>
    <t>4000016868-1235-1</t>
  </si>
  <si>
    <t>Limeira</t>
  </si>
  <si>
    <t>Requalificação e expansão</t>
  </si>
  <si>
    <t>10 - Reforma e modernização da Unidade</t>
  </si>
  <si>
    <t>4000019152-1239-1</t>
  </si>
  <si>
    <t>Registro</t>
  </si>
  <si>
    <t>Edificação do Complexo de Atividades</t>
  </si>
  <si>
    <t>07 - Ampliação da Unidade</t>
  </si>
  <si>
    <t>4000016883-2002-1</t>
  </si>
  <si>
    <t>São Paulo - Brás</t>
  </si>
  <si>
    <t>Requalificação, expansão e conformação para acessibilidade universal e segurança</t>
  </si>
  <si>
    <t>11 - Reforma para adequação de acessibilidade</t>
  </si>
  <si>
    <t>4000016720-2007-30</t>
  </si>
  <si>
    <t>São Paulo - Vila Leopoldina</t>
  </si>
  <si>
    <t>Implantação de usinas fotovoltaicas</t>
  </si>
  <si>
    <t>22 - Instalações de usinas fotovoltaicas</t>
  </si>
  <si>
    <t>No prazo</t>
  </si>
  <si>
    <t>13 - Reforma e adequação em ambientes CQV</t>
  </si>
  <si>
    <t>Requalificação tanque aquático</t>
  </si>
  <si>
    <t>Renovação chapa de policarbonato</t>
  </si>
  <si>
    <t>17 - Construção ou reforma de cobertura</t>
  </si>
  <si>
    <t>São José dos Campos</t>
  </si>
  <si>
    <t>Campinas</t>
  </si>
  <si>
    <t>4000030003-1003-1</t>
  </si>
  <si>
    <t>Votorantim</t>
  </si>
  <si>
    <t>Ribeirão Preto</t>
  </si>
  <si>
    <t>Santo André</t>
  </si>
  <si>
    <t>4000030007-1007-1</t>
  </si>
  <si>
    <t>Iperó</t>
  </si>
  <si>
    <t>Franca</t>
  </si>
  <si>
    <t>4000030010-1010-1</t>
  </si>
  <si>
    <t>Salto</t>
  </si>
  <si>
    <t>4000031101-1001-1</t>
  </si>
  <si>
    <t>4000031108-1008-1</t>
  </si>
  <si>
    <t>400003245-1020-1</t>
  </si>
  <si>
    <t>Retrofit elétrico e adequação de SPDA</t>
  </si>
  <si>
    <t>14 - Reforma de instalações elétricas</t>
  </si>
  <si>
    <t>400003246-1145-1</t>
  </si>
  <si>
    <t>Guarulhos</t>
  </si>
  <si>
    <t>Ampliação de centro logístico operacional</t>
  </si>
  <si>
    <t>400003247-1200-1</t>
  </si>
  <si>
    <t>Sorocaba</t>
  </si>
  <si>
    <t>Implantação de sistema de climatização industrial</t>
  </si>
  <si>
    <t>15 - Instalações industriais</t>
  </si>
  <si>
    <t>400003248-1301-1</t>
  </si>
  <si>
    <t>Reforma estrutural de cobertura metálica</t>
  </si>
  <si>
    <t>400003249-1422-1</t>
  </si>
  <si>
    <t>São José do Rio Preto</t>
  </si>
  <si>
    <t>Modernização de subestação elétrica</t>
  </si>
  <si>
    <t>09 - Obras de infraestrutura elétrica</t>
  </si>
  <si>
    <t>400003250-1508-1</t>
  </si>
  <si>
    <t>Barueri</t>
  </si>
  <si>
    <t>Adequação de acessibilidade e combate a incêndio</t>
  </si>
  <si>
    <t>11 - Reforma para adequação de acessibilidade e segurança</t>
  </si>
  <si>
    <t>400003251-1630-1</t>
  </si>
  <si>
    <t>Jundiaí</t>
  </si>
  <si>
    <t>Construção de prédio administrativo</t>
  </si>
  <si>
    <t>400003252-1705-1</t>
  </si>
  <si>
    <t>Revitalização de fachada e áreas comuns</t>
  </si>
  <si>
    <t>16 - Reforma civil e acabamento</t>
  </si>
  <si>
    <t>400003253-1810-1</t>
  </si>
  <si>
    <t>Piracicaba</t>
  </si>
  <si>
    <t>Implantação de usina fotovoltaica</t>
  </si>
  <si>
    <t>400003254-1902-1</t>
  </si>
  <si>
    <t>Osasco</t>
  </si>
  <si>
    <t>Readequação hidráulica e sanitária</t>
  </si>
  <si>
    <t>13 - Reforma e adequação de ambientes</t>
  </si>
  <si>
    <t>400003255-2004-1</t>
  </si>
  <si>
    <t>Taubaté</t>
  </si>
  <si>
    <t>Construção de galpão de manutenção</t>
  </si>
  <si>
    <t>400003256-2140-1</t>
  </si>
  <si>
    <t>Mauá</t>
  </si>
  <si>
    <t>Recuperação estrutural de piso industrial</t>
  </si>
  <si>
    <t>18 - Recuperação estrutural</t>
  </si>
  <si>
    <t>Planejamento</t>
  </si>
  <si>
    <t>Paralizada</t>
  </si>
  <si>
    <t>Observações</t>
  </si>
  <si>
    <t>Avanço Físico (%)</t>
  </si>
  <si>
    <t>Renegociando aditamento contratual junto ao fornecedor principal.</t>
  </si>
  <si>
    <t>Necessária revisão do cronograma devido a interferências operacionais na unidade.</t>
  </si>
  <si>
    <t>Aguardando liberação parcial de frente de serviço pela fiscalização local.</t>
  </si>
  <si>
    <t>Chuvas recorrentes impactaram o avanço das fundações.</t>
  </si>
  <si>
    <t>Mobilização de equipe abaixo do previsto no planejamento inicial.</t>
  </si>
  <si>
    <t>Etapa de montagem final executada conforme cronograma aprovado.</t>
  </si>
  <si>
    <t>Serviços civis concluídos, iniciando fase de acabamento técnico.</t>
  </si>
  <si>
    <t>Estrutura principal finalizada sem desvios relevantes de prazo.</t>
  </si>
  <si>
    <t>Reprogramação necessária devido a atraso na entrega de materiais metálicos.</t>
  </si>
  <si>
    <t>Ensaios e comissionamento parcial realizados com sucesso.</t>
  </si>
  <si>
    <t>Necessidade de compatibilização complementar entre projetos executivos.</t>
  </si>
  <si>
    <t>Equipamentos principais já entregues e instalados em campo.</t>
  </si>
  <si>
    <t>Obra avançando conforme medições previstas para o período.</t>
  </si>
  <si>
    <t>Pendência na aprovação técnica junto à concessionária de energia.</t>
  </si>
  <si>
    <t>Adequações de segurança concluídas e liberadas pela fiscalização interna.</t>
  </si>
  <si>
    <t>Fase inicial de terraplenagem e fundações em execução.</t>
  </si>
  <si>
    <t>Serviços de revitalização iniciados sem impactos operacionais à unidade.</t>
  </si>
  <si>
    <t>Estruturas de fixação fotovoltaica em fase final de instalação.</t>
  </si>
  <si>
    <t>Identificadas interferências hidráulicas não previstas em projeto original.</t>
  </si>
  <si>
    <t>Avanço físico compatível com cronograma financeiro da obra.</t>
  </si>
  <si>
    <t>Aguardando análise ambiental da Secretaria do Meio Ambiente.</t>
  </si>
  <si>
    <t>Eletrônica em fase final de instalação.</t>
  </si>
  <si>
    <t>Financeira</t>
  </si>
  <si>
    <t>Engenharia</t>
  </si>
  <si>
    <t>Ambiental</t>
  </si>
  <si>
    <t>Média Simples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</si>
</sst>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4" fontId="1" fillId="0" borderId="0" xfId="1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1" fillId="0" borderId="0" xfId="2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2" applyFont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3"/>
  <sheetViews>
    <sheetView tabSelected="1" zoomScale="85" zoomScaleNormal="85" workbookViewId="0">
      <selection activeCell="A10" sqref="A10"/>
    </sheetView>
  </sheetViews>
  <sheetFormatPr defaultColWidth="12.5703125" defaultRowHeight="12.75" x14ac:dyDescent="0.2"/>
  <cols>
    <col min="1" max="1" width="16.85546875" customWidth="1"/>
    <col min="2" max="2" width="21.42578125" customWidth="1"/>
    <col min="3" max="3" width="63" customWidth="1"/>
    <col min="4" max="4" width="36.42578125" customWidth="1"/>
    <col min="5" max="5" width="18.28515625" customWidth="1"/>
    <col min="6" max="6" width="19.42578125" style="6" customWidth="1"/>
    <col min="7" max="7" width="17.85546875" style="6" customWidth="1"/>
    <col min="8" max="8" width="18.42578125" style="6" customWidth="1"/>
    <col min="9" max="9" width="22.140625" style="6" customWidth="1"/>
    <col min="10" max="10" width="72.42578125" customWidth="1"/>
    <col min="11" max="12" width="12.5703125" style="6"/>
    <col min="13" max="13" width="13.85546875" style="6" customWidth="1"/>
    <col min="14" max="14" width="12.5703125" style="6"/>
    <col min="15" max="15" width="14.140625" style="7" customWidth="1"/>
  </cols>
  <sheetData>
    <row r="1" spans="1:15" ht="25.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90</v>
      </c>
      <c r="H1" s="4" t="s">
        <v>6</v>
      </c>
      <c r="I1" s="4" t="s">
        <v>87</v>
      </c>
      <c r="J1" s="4" t="s">
        <v>89</v>
      </c>
      <c r="K1" s="4" t="s">
        <v>113</v>
      </c>
      <c r="L1" s="4" t="s">
        <v>114</v>
      </c>
      <c r="M1" s="4" t="s">
        <v>87</v>
      </c>
      <c r="N1" s="4" t="s">
        <v>115</v>
      </c>
      <c r="O1" s="4" t="s">
        <v>116</v>
      </c>
    </row>
    <row r="2" spans="1:15" x14ac:dyDescent="0.2">
      <c r="A2" s="1" t="s">
        <v>25</v>
      </c>
      <c r="B2" s="1" t="s">
        <v>26</v>
      </c>
      <c r="C2" s="1" t="s">
        <v>27</v>
      </c>
      <c r="D2" s="1" t="s">
        <v>28</v>
      </c>
      <c r="E2" s="2">
        <v>2460904.77</v>
      </c>
      <c r="F2" s="8">
        <v>0.92</v>
      </c>
      <c r="G2" s="9">
        <v>0.94</v>
      </c>
      <c r="H2" s="10" t="s">
        <v>11</v>
      </c>
      <c r="I2" s="10" t="s">
        <v>29</v>
      </c>
      <c r="J2" s="5" t="s">
        <v>112</v>
      </c>
      <c r="K2" s="3">
        <v>8</v>
      </c>
      <c r="L2" s="3">
        <v>7</v>
      </c>
      <c r="M2" s="3">
        <v>7</v>
      </c>
      <c r="N2" s="3">
        <v>10</v>
      </c>
      <c r="O2" s="7">
        <f>AVERAGE(K2:N2)</f>
        <v>8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2">
        <v>20471422.329999998</v>
      </c>
      <c r="F3" s="8">
        <v>1</v>
      </c>
      <c r="G3" s="9">
        <v>0.88</v>
      </c>
      <c r="H3" s="3" t="s">
        <v>88</v>
      </c>
      <c r="I3" s="10" t="s">
        <v>12</v>
      </c>
      <c r="J3" s="5" t="s">
        <v>91</v>
      </c>
      <c r="K3" s="3">
        <v>5</v>
      </c>
      <c r="L3" s="3">
        <v>6</v>
      </c>
      <c r="M3" s="3">
        <v>4</v>
      </c>
      <c r="N3" s="3">
        <v>5</v>
      </c>
      <c r="O3" s="7">
        <f>AVERAGE(K3:N3)</f>
        <v>5</v>
      </c>
    </row>
    <row r="4" spans="1:15" x14ac:dyDescent="0.2">
      <c r="A4" s="1" t="s">
        <v>21</v>
      </c>
      <c r="B4" s="1" t="s">
        <v>22</v>
      </c>
      <c r="C4" s="1" t="s">
        <v>23</v>
      </c>
      <c r="D4" s="1" t="s">
        <v>24</v>
      </c>
      <c r="E4" s="2">
        <v>7030241.0300000003</v>
      </c>
      <c r="F4" s="8">
        <v>0.99</v>
      </c>
      <c r="G4" s="9">
        <v>0.98</v>
      </c>
      <c r="H4" s="10" t="s">
        <v>11</v>
      </c>
      <c r="I4" s="10" t="s">
        <v>12</v>
      </c>
      <c r="J4" s="5" t="s">
        <v>92</v>
      </c>
      <c r="K4" s="3">
        <v>6</v>
      </c>
      <c r="L4" s="3">
        <v>7</v>
      </c>
      <c r="M4" s="3">
        <v>5</v>
      </c>
      <c r="N4" s="3">
        <v>8</v>
      </c>
      <c r="O4" s="7">
        <f>AVERAGE(K4:N4)</f>
        <v>6.5</v>
      </c>
    </row>
    <row r="5" spans="1:15" x14ac:dyDescent="0.2">
      <c r="A5" s="1" t="s">
        <v>7</v>
      </c>
      <c r="B5" s="1" t="s">
        <v>8</v>
      </c>
      <c r="C5" s="1" t="s">
        <v>9</v>
      </c>
      <c r="D5" s="1" t="s">
        <v>10</v>
      </c>
      <c r="E5" s="2">
        <v>76818805.349999994</v>
      </c>
      <c r="F5" s="8">
        <v>0.87</v>
      </c>
      <c r="G5" s="9">
        <v>0.9</v>
      </c>
      <c r="H5" s="10" t="s">
        <v>11</v>
      </c>
      <c r="I5" s="10" t="s">
        <v>12</v>
      </c>
      <c r="J5" s="5" t="s">
        <v>93</v>
      </c>
      <c r="K5" s="3">
        <v>6</v>
      </c>
      <c r="L5" s="3">
        <v>7</v>
      </c>
      <c r="M5" s="3">
        <v>5</v>
      </c>
      <c r="N5" s="3">
        <v>6</v>
      </c>
      <c r="O5" s="7">
        <f>AVERAGE(K5:N5)</f>
        <v>6</v>
      </c>
    </row>
    <row r="6" spans="1:15" x14ac:dyDescent="0.2">
      <c r="A6" s="1" t="s">
        <v>17</v>
      </c>
      <c r="B6" s="1" t="s">
        <v>18</v>
      </c>
      <c r="C6" s="1" t="s">
        <v>19</v>
      </c>
      <c r="D6" s="1" t="s">
        <v>20</v>
      </c>
      <c r="E6" s="2">
        <v>18031004.710000001</v>
      </c>
      <c r="F6" s="8">
        <v>0.89</v>
      </c>
      <c r="G6" s="9">
        <v>0.75</v>
      </c>
      <c r="H6" s="10" t="s">
        <v>11</v>
      </c>
      <c r="I6" s="10" t="s">
        <v>12</v>
      </c>
      <c r="J6" s="5" t="s">
        <v>94</v>
      </c>
      <c r="K6" s="3">
        <v>5</v>
      </c>
      <c r="L6" s="3">
        <v>6</v>
      </c>
      <c r="M6" s="3">
        <v>4</v>
      </c>
      <c r="N6" s="3">
        <v>5</v>
      </c>
      <c r="O6" s="7">
        <f>AVERAGE(K6:N6)</f>
        <v>5</v>
      </c>
    </row>
    <row r="7" spans="1:15" x14ac:dyDescent="0.2">
      <c r="A7" s="1" t="s">
        <v>36</v>
      </c>
      <c r="B7" s="1" t="s">
        <v>37</v>
      </c>
      <c r="C7" s="1" t="s">
        <v>27</v>
      </c>
      <c r="D7" s="1" t="s">
        <v>28</v>
      </c>
      <c r="E7" s="2">
        <v>1200000</v>
      </c>
      <c r="F7" s="8">
        <v>0.15</v>
      </c>
      <c r="G7" s="9">
        <v>0.15</v>
      </c>
      <c r="H7" s="10" t="s">
        <v>11</v>
      </c>
      <c r="I7" s="10" t="s">
        <v>12</v>
      </c>
      <c r="J7" s="5" t="s">
        <v>95</v>
      </c>
      <c r="K7" s="3">
        <v>5</v>
      </c>
      <c r="L7" s="3">
        <v>6</v>
      </c>
      <c r="M7" s="3">
        <v>4</v>
      </c>
      <c r="N7" s="3">
        <v>8</v>
      </c>
      <c r="O7" s="7">
        <f>AVERAGE(K7:N7)</f>
        <v>5.75</v>
      </c>
    </row>
    <row r="8" spans="1:15" x14ac:dyDescent="0.2">
      <c r="A8" s="1" t="s">
        <v>40</v>
      </c>
      <c r="B8" s="1" t="s">
        <v>41</v>
      </c>
      <c r="C8" s="1" t="s">
        <v>32</v>
      </c>
      <c r="D8" s="1" t="s">
        <v>33</v>
      </c>
      <c r="E8" s="2">
        <v>180000</v>
      </c>
      <c r="F8" s="8">
        <v>0.95</v>
      </c>
      <c r="G8" s="9">
        <v>0.93</v>
      </c>
      <c r="H8" s="10" t="s">
        <v>11</v>
      </c>
      <c r="I8" s="10" t="s">
        <v>29</v>
      </c>
      <c r="J8" s="5" t="s">
        <v>96</v>
      </c>
      <c r="K8" s="3">
        <v>7</v>
      </c>
      <c r="L8" s="3">
        <v>8</v>
      </c>
      <c r="M8" s="3">
        <v>7</v>
      </c>
      <c r="N8" s="3">
        <v>7</v>
      </c>
      <c r="O8" s="7">
        <f>AVERAGE(K8:N8)</f>
        <v>7.25</v>
      </c>
    </row>
    <row r="9" spans="1:15" x14ac:dyDescent="0.2">
      <c r="A9" s="1" t="s">
        <v>43</v>
      </c>
      <c r="B9" s="1" t="s">
        <v>44</v>
      </c>
      <c r="C9" s="1" t="s">
        <v>31</v>
      </c>
      <c r="D9" s="1" t="s">
        <v>30</v>
      </c>
      <c r="E9" s="2">
        <v>800000</v>
      </c>
      <c r="F9" s="8">
        <v>0.5</v>
      </c>
      <c r="G9" s="9">
        <v>0.52</v>
      </c>
      <c r="H9" s="10" t="s">
        <v>11</v>
      </c>
      <c r="I9" s="10" t="s">
        <v>29</v>
      </c>
      <c r="J9" s="5" t="s">
        <v>97</v>
      </c>
      <c r="K9" s="3">
        <v>6</v>
      </c>
      <c r="L9" s="3">
        <v>7</v>
      </c>
      <c r="M9" s="3">
        <v>6</v>
      </c>
      <c r="N9" s="3">
        <v>6</v>
      </c>
      <c r="O9" s="7">
        <f>AVERAGE(K9:N9)</f>
        <v>6.25</v>
      </c>
    </row>
    <row r="10" spans="1:15" x14ac:dyDescent="0.2">
      <c r="A10" s="1" t="s">
        <v>45</v>
      </c>
      <c r="B10" s="1" t="s">
        <v>34</v>
      </c>
      <c r="C10" s="1" t="s">
        <v>9</v>
      </c>
      <c r="D10" s="1" t="s">
        <v>10</v>
      </c>
      <c r="E10" s="2">
        <v>15000000</v>
      </c>
      <c r="F10" s="8">
        <v>0.45</v>
      </c>
      <c r="G10" s="9">
        <v>0.48</v>
      </c>
      <c r="H10" s="10" t="s">
        <v>11</v>
      </c>
      <c r="I10" s="10" t="s">
        <v>29</v>
      </c>
      <c r="J10" s="5" t="s">
        <v>98</v>
      </c>
      <c r="K10" s="3">
        <v>6</v>
      </c>
      <c r="L10" s="3">
        <v>7</v>
      </c>
      <c r="M10" s="3">
        <v>6</v>
      </c>
      <c r="N10" s="3">
        <v>6</v>
      </c>
      <c r="O10" s="7">
        <f>AVERAGE(K10:N10)</f>
        <v>6.25</v>
      </c>
    </row>
    <row r="11" spans="1:15" x14ac:dyDescent="0.2">
      <c r="A11" s="1" t="s">
        <v>46</v>
      </c>
      <c r="B11" s="1" t="s">
        <v>42</v>
      </c>
      <c r="C11" s="1" t="s">
        <v>19</v>
      </c>
      <c r="D11" s="1" t="s">
        <v>20</v>
      </c>
      <c r="E11" s="2">
        <v>11000000</v>
      </c>
      <c r="F11" s="8">
        <v>0.6</v>
      </c>
      <c r="G11" s="9">
        <v>0.59</v>
      </c>
      <c r="H11" s="10" t="s">
        <v>11</v>
      </c>
      <c r="I11" s="10" t="s">
        <v>12</v>
      </c>
      <c r="J11" s="5" t="s">
        <v>99</v>
      </c>
      <c r="K11" s="3">
        <v>5</v>
      </c>
      <c r="L11" s="3">
        <v>5</v>
      </c>
      <c r="M11" s="3">
        <v>4</v>
      </c>
      <c r="N11" s="3">
        <v>5</v>
      </c>
      <c r="O11" s="7">
        <f>AVERAGE(K11:N11)</f>
        <v>4.75</v>
      </c>
    </row>
    <row r="12" spans="1:15" x14ac:dyDescent="0.2">
      <c r="A12" s="5" t="s">
        <v>47</v>
      </c>
      <c r="B12" s="5" t="s">
        <v>35</v>
      </c>
      <c r="C12" s="5" t="s">
        <v>48</v>
      </c>
      <c r="D12" s="5" t="s">
        <v>49</v>
      </c>
      <c r="E12" s="2">
        <v>3850000</v>
      </c>
      <c r="F12" s="11">
        <v>0.72</v>
      </c>
      <c r="G12" s="9">
        <v>0.7</v>
      </c>
      <c r="H12" s="3" t="s">
        <v>11</v>
      </c>
      <c r="I12" s="3" t="s">
        <v>29</v>
      </c>
      <c r="J12" s="5" t="s">
        <v>100</v>
      </c>
      <c r="K12" s="3">
        <v>8</v>
      </c>
      <c r="L12" s="3">
        <v>8</v>
      </c>
      <c r="M12" s="3">
        <v>7</v>
      </c>
      <c r="N12" s="3">
        <v>7</v>
      </c>
      <c r="O12" s="7">
        <f>AVERAGE(K12:N12)</f>
        <v>7.5</v>
      </c>
    </row>
    <row r="13" spans="1:15" x14ac:dyDescent="0.2">
      <c r="A13" s="5" t="s">
        <v>50</v>
      </c>
      <c r="B13" s="5" t="s">
        <v>51</v>
      </c>
      <c r="C13" s="5" t="s">
        <v>52</v>
      </c>
      <c r="D13" s="5" t="s">
        <v>20</v>
      </c>
      <c r="E13" s="2">
        <v>28400000</v>
      </c>
      <c r="F13" s="11">
        <v>0.38</v>
      </c>
      <c r="G13" s="9">
        <v>0.41</v>
      </c>
      <c r="H13" s="3" t="s">
        <v>11</v>
      </c>
      <c r="I13" s="3" t="s">
        <v>12</v>
      </c>
      <c r="J13" s="5" t="s">
        <v>101</v>
      </c>
      <c r="K13" s="3">
        <v>5</v>
      </c>
      <c r="L13" s="3">
        <v>6</v>
      </c>
      <c r="M13" s="3">
        <v>5</v>
      </c>
      <c r="N13" s="3">
        <v>5</v>
      </c>
      <c r="O13" s="7">
        <f>AVERAGE(K13:N13)</f>
        <v>5.25</v>
      </c>
    </row>
    <row r="14" spans="1:15" x14ac:dyDescent="0.2">
      <c r="A14" s="5" t="s">
        <v>53</v>
      </c>
      <c r="B14" s="5" t="s">
        <v>54</v>
      </c>
      <c r="C14" s="5" t="s">
        <v>55</v>
      </c>
      <c r="D14" s="5" t="s">
        <v>56</v>
      </c>
      <c r="E14" s="2">
        <v>5620000</v>
      </c>
      <c r="F14" s="11">
        <v>0.91</v>
      </c>
      <c r="G14" s="9">
        <v>0.9</v>
      </c>
      <c r="H14" s="3" t="s">
        <v>11</v>
      </c>
      <c r="I14" s="3" t="s">
        <v>29</v>
      </c>
      <c r="J14" s="5" t="s">
        <v>102</v>
      </c>
      <c r="K14" s="3">
        <v>7</v>
      </c>
      <c r="L14" s="3">
        <v>9</v>
      </c>
      <c r="M14" s="3">
        <v>7</v>
      </c>
      <c r="N14" s="3">
        <v>6</v>
      </c>
      <c r="O14" s="7">
        <f>AVERAGE(K14:N14)</f>
        <v>7.25</v>
      </c>
    </row>
    <row r="15" spans="1:15" x14ac:dyDescent="0.2">
      <c r="A15" s="5" t="s">
        <v>57</v>
      </c>
      <c r="B15" s="5" t="s">
        <v>38</v>
      </c>
      <c r="C15" s="5" t="s">
        <v>58</v>
      </c>
      <c r="D15" s="5" t="s">
        <v>33</v>
      </c>
      <c r="E15" s="2">
        <v>1740000</v>
      </c>
      <c r="F15" s="11">
        <v>0.64</v>
      </c>
      <c r="G15" s="9">
        <v>0.59</v>
      </c>
      <c r="H15" s="3" t="s">
        <v>11</v>
      </c>
      <c r="I15" s="3" t="s">
        <v>29</v>
      </c>
      <c r="J15" s="5" t="s">
        <v>103</v>
      </c>
      <c r="K15" s="3">
        <v>6</v>
      </c>
      <c r="L15" s="3">
        <v>7</v>
      </c>
      <c r="M15" s="3">
        <v>6</v>
      </c>
      <c r="N15" s="3">
        <v>6</v>
      </c>
      <c r="O15" s="7">
        <f>AVERAGE(K15:N15)</f>
        <v>6.25</v>
      </c>
    </row>
    <row r="16" spans="1:15" x14ac:dyDescent="0.2">
      <c r="A16" s="5" t="s">
        <v>59</v>
      </c>
      <c r="B16" s="5" t="s">
        <v>60</v>
      </c>
      <c r="C16" s="5" t="s">
        <v>61</v>
      </c>
      <c r="D16" s="5" t="s">
        <v>62</v>
      </c>
      <c r="E16" s="2">
        <v>8950000</v>
      </c>
      <c r="F16" s="11">
        <v>0.27</v>
      </c>
      <c r="G16" s="9">
        <v>0.3</v>
      </c>
      <c r="H16" s="3" t="s">
        <v>11</v>
      </c>
      <c r="I16" s="3" t="s">
        <v>12</v>
      </c>
      <c r="J16" s="5" t="s">
        <v>104</v>
      </c>
      <c r="K16" s="3">
        <v>5</v>
      </c>
      <c r="L16" s="3">
        <v>6</v>
      </c>
      <c r="M16" s="3">
        <v>4</v>
      </c>
      <c r="N16" s="3">
        <v>5</v>
      </c>
      <c r="O16" s="7">
        <f>AVERAGE(K16:N16)</f>
        <v>5</v>
      </c>
    </row>
    <row r="17" spans="1:15" ht="25.5" x14ac:dyDescent="0.2">
      <c r="A17" s="5" t="s">
        <v>63</v>
      </c>
      <c r="B17" s="5" t="s">
        <v>64</v>
      </c>
      <c r="C17" s="5" t="s">
        <v>65</v>
      </c>
      <c r="D17" s="5" t="s">
        <v>66</v>
      </c>
      <c r="E17" s="2">
        <v>2980000</v>
      </c>
      <c r="F17" s="11">
        <v>0.83</v>
      </c>
      <c r="G17" s="9">
        <v>0.83</v>
      </c>
      <c r="H17" s="3" t="s">
        <v>11</v>
      </c>
      <c r="I17" s="3" t="s">
        <v>29</v>
      </c>
      <c r="J17" s="5" t="s">
        <v>105</v>
      </c>
      <c r="K17" s="3">
        <v>8</v>
      </c>
      <c r="L17" s="3">
        <v>8</v>
      </c>
      <c r="M17" s="3">
        <v>8</v>
      </c>
      <c r="N17" s="3">
        <v>8</v>
      </c>
      <c r="O17" s="7">
        <f>AVERAGE(K17:N17)</f>
        <v>8</v>
      </c>
    </row>
    <row r="18" spans="1:15" x14ac:dyDescent="0.2">
      <c r="A18" s="5" t="s">
        <v>67</v>
      </c>
      <c r="B18" s="5" t="s">
        <v>68</v>
      </c>
      <c r="C18" s="5" t="s">
        <v>69</v>
      </c>
      <c r="D18" s="5" t="s">
        <v>10</v>
      </c>
      <c r="E18" s="2">
        <v>21500000</v>
      </c>
      <c r="F18" s="11">
        <v>0.12</v>
      </c>
      <c r="G18" s="9">
        <v>0.21</v>
      </c>
      <c r="H18" s="3" t="s">
        <v>11</v>
      </c>
      <c r="I18" s="3" t="s">
        <v>29</v>
      </c>
      <c r="J18" s="5" t="s">
        <v>106</v>
      </c>
      <c r="K18" s="3">
        <v>5</v>
      </c>
      <c r="L18" s="3">
        <v>5</v>
      </c>
      <c r="M18" s="3">
        <v>6</v>
      </c>
      <c r="N18" s="3">
        <v>5</v>
      </c>
      <c r="O18" s="7">
        <f>AVERAGE(K18:N18)</f>
        <v>5.25</v>
      </c>
    </row>
    <row r="19" spans="1:15" x14ac:dyDescent="0.2">
      <c r="A19" s="5" t="s">
        <v>70</v>
      </c>
      <c r="B19" s="5" t="s">
        <v>39</v>
      </c>
      <c r="C19" s="5" t="s">
        <v>71</v>
      </c>
      <c r="D19" s="5" t="s">
        <v>72</v>
      </c>
      <c r="E19" s="2">
        <v>970000</v>
      </c>
      <c r="F19" s="11">
        <v>0.1</v>
      </c>
      <c r="G19" s="9">
        <v>0.1</v>
      </c>
      <c r="H19" s="3" t="s">
        <v>11</v>
      </c>
      <c r="I19" s="3" t="s">
        <v>29</v>
      </c>
      <c r="J19" s="5" t="s">
        <v>107</v>
      </c>
      <c r="K19" s="3">
        <v>6</v>
      </c>
      <c r="L19" s="3">
        <v>7</v>
      </c>
      <c r="M19" s="3">
        <v>7</v>
      </c>
      <c r="N19" s="3">
        <v>7</v>
      </c>
      <c r="O19" s="7">
        <f>AVERAGE(K19:N19)</f>
        <v>6.75</v>
      </c>
    </row>
    <row r="20" spans="1:15" x14ac:dyDescent="0.2">
      <c r="A20" s="5" t="s">
        <v>73</v>
      </c>
      <c r="B20" s="5" t="s">
        <v>74</v>
      </c>
      <c r="C20" s="5" t="s">
        <v>75</v>
      </c>
      <c r="D20" s="5" t="s">
        <v>28</v>
      </c>
      <c r="E20" s="2">
        <v>4420000</v>
      </c>
      <c r="F20" s="11">
        <v>0.54</v>
      </c>
      <c r="G20" s="9">
        <v>0.55000000000000004</v>
      </c>
      <c r="H20" s="3" t="s">
        <v>11</v>
      </c>
      <c r="I20" s="3" t="s">
        <v>29</v>
      </c>
      <c r="J20" s="5" t="s">
        <v>108</v>
      </c>
      <c r="K20" s="3">
        <v>7</v>
      </c>
      <c r="L20" s="3">
        <v>9</v>
      </c>
      <c r="M20" s="3">
        <v>7</v>
      </c>
      <c r="N20" s="3">
        <v>7</v>
      </c>
      <c r="O20" s="7">
        <f>AVERAGE(K20:N20)</f>
        <v>7.5</v>
      </c>
    </row>
    <row r="21" spans="1:15" x14ac:dyDescent="0.2">
      <c r="A21" s="5" t="s">
        <v>76</v>
      </c>
      <c r="B21" s="5" t="s">
        <v>77</v>
      </c>
      <c r="C21" s="5" t="s">
        <v>78</v>
      </c>
      <c r="D21" s="5" t="s">
        <v>79</v>
      </c>
      <c r="E21" s="2">
        <v>1280000</v>
      </c>
      <c r="F21" s="11">
        <v>0.47</v>
      </c>
      <c r="G21" s="9">
        <v>0.48</v>
      </c>
      <c r="H21" s="3" t="s">
        <v>11</v>
      </c>
      <c r="I21" s="3" t="s">
        <v>12</v>
      </c>
      <c r="J21" s="5" t="s">
        <v>109</v>
      </c>
      <c r="K21" s="3">
        <v>5</v>
      </c>
      <c r="L21" s="3">
        <v>6</v>
      </c>
      <c r="M21" s="3">
        <v>4</v>
      </c>
      <c r="N21" s="3">
        <v>6</v>
      </c>
      <c r="O21" s="7">
        <f>AVERAGE(K21:N21)</f>
        <v>5.25</v>
      </c>
    </row>
    <row r="22" spans="1:15" x14ac:dyDescent="0.2">
      <c r="A22" s="5" t="s">
        <v>80</v>
      </c>
      <c r="B22" s="5" t="s">
        <v>81</v>
      </c>
      <c r="C22" s="5" t="s">
        <v>82</v>
      </c>
      <c r="D22" s="5" t="s">
        <v>10</v>
      </c>
      <c r="E22" s="2">
        <v>13700000</v>
      </c>
      <c r="F22" s="11">
        <v>0.76</v>
      </c>
      <c r="G22" s="9">
        <v>0.77</v>
      </c>
      <c r="H22" s="3" t="s">
        <v>11</v>
      </c>
      <c r="I22" s="3" t="s">
        <v>29</v>
      </c>
      <c r="J22" s="5" t="s">
        <v>110</v>
      </c>
      <c r="K22" s="3">
        <v>6</v>
      </c>
      <c r="L22" s="3">
        <v>7</v>
      </c>
      <c r="M22" s="3">
        <v>6</v>
      </c>
      <c r="N22" s="3">
        <v>6</v>
      </c>
      <c r="O22" s="7">
        <f>AVERAGE(K22:N22)</f>
        <v>6.25</v>
      </c>
    </row>
    <row r="23" spans="1:15" x14ac:dyDescent="0.2">
      <c r="A23" s="5" t="s">
        <v>83</v>
      </c>
      <c r="B23" s="5" t="s">
        <v>84</v>
      </c>
      <c r="C23" s="5" t="s">
        <v>85</v>
      </c>
      <c r="D23" s="5" t="s">
        <v>86</v>
      </c>
      <c r="E23" s="2">
        <v>2150000</v>
      </c>
      <c r="F23" s="11">
        <v>0.09</v>
      </c>
      <c r="G23" s="9">
        <v>0.05</v>
      </c>
      <c r="H23" s="3" t="s">
        <v>88</v>
      </c>
      <c r="I23" s="3" t="s">
        <v>29</v>
      </c>
      <c r="J23" s="5" t="s">
        <v>111</v>
      </c>
      <c r="K23" s="3">
        <v>4</v>
      </c>
      <c r="L23" s="3">
        <v>5</v>
      </c>
      <c r="M23" s="3">
        <v>4</v>
      </c>
      <c r="N23" s="3">
        <v>4</v>
      </c>
      <c r="O23" s="7">
        <f>AVERAGE(K23:N23)</f>
        <v>4.25</v>
      </c>
    </row>
  </sheetData>
  <autoFilter ref="A1:O23" xr:uid="{00000000-0001-0000-0000-000000000000}">
    <sortState xmlns:xlrd2="http://schemas.microsoft.com/office/spreadsheetml/2017/richdata2" ref="A2:O23">
      <sortCondition ref="A1:A23"/>
    </sortState>
  </autoFilter>
  <conditionalFormatting sqref="O2:O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Projetos e Avaliações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Segato</dc:creator>
  <cp:lastModifiedBy>LUIZ OTAVIO RODRIGUES SEGATO</cp:lastModifiedBy>
  <dcterms:created xsi:type="dcterms:W3CDTF">2026-05-25T22:56:06Z</dcterms:created>
  <dcterms:modified xsi:type="dcterms:W3CDTF">2026-05-25T22:56:06Z</dcterms:modified>
</cp:coreProperties>
</file>